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Bureau\"/>
    </mc:Choice>
  </mc:AlternateContent>
  <xr:revisionPtr revIDLastSave="0" documentId="13_ncr:1_{5A044993-A3AC-40B8-95B5-7EA86880D367}" xr6:coauthVersionLast="47" xr6:coauthVersionMax="47" xr10:uidLastSave="{00000000-0000-0000-0000-000000000000}"/>
  <bookViews>
    <workbookView xWindow="-120" yWindow="-120" windowWidth="29040" windowHeight="15840" xr2:uid="{AD3F332D-EEC1-409F-98F2-7960C7440E50}"/>
  </bookViews>
  <sheets>
    <sheet name="Feuil1" sheetId="1" r:id="rId1"/>
  </sheets>
  <definedNames>
    <definedName name="_xlnm.Print_Area" localSheetId="0">Tableau1[#All]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  <c r="D2" i="1"/>
  <c r="C2" i="1"/>
  <c r="F3" i="1"/>
  <c r="F4" i="1"/>
  <c r="F5" i="1"/>
  <c r="F6" i="1"/>
  <c r="F7" i="1"/>
  <c r="F8" i="1"/>
  <c r="F9" i="1"/>
  <c r="F10" i="1"/>
  <c r="F11" i="1"/>
  <c r="E3" i="1"/>
  <c r="E4" i="1"/>
  <c r="E5" i="1"/>
  <c r="E6" i="1"/>
  <c r="E7" i="1"/>
  <c r="E8" i="1"/>
  <c r="E9" i="1"/>
  <c r="E10" i="1"/>
  <c r="E11" i="1"/>
  <c r="D3" i="1"/>
  <c r="D4" i="1"/>
  <c r="D5" i="1"/>
  <c r="D6" i="1"/>
  <c r="D7" i="1"/>
  <c r="D8" i="1"/>
  <c r="D9" i="1"/>
  <c r="D10" i="1"/>
  <c r="D11" i="1"/>
  <c r="C3" i="1"/>
  <c r="C4" i="1"/>
  <c r="C5" i="1"/>
  <c r="C6" i="1"/>
  <c r="C7" i="1"/>
  <c r="C8" i="1"/>
  <c r="C9" i="1"/>
  <c r="C10" i="1"/>
  <c r="C11" i="1"/>
</calcChain>
</file>

<file path=xl/sharedStrings.xml><?xml version="1.0" encoding="utf-8"?>
<sst xmlns="http://schemas.openxmlformats.org/spreadsheetml/2006/main" count="24" uniqueCount="21">
  <si>
    <t>Hauteur</t>
  </si>
  <si>
    <t>Largeur</t>
  </si>
  <si>
    <t>Largeur coffre</t>
  </si>
  <si>
    <t>Axe</t>
  </si>
  <si>
    <t>Couleur</t>
  </si>
  <si>
    <t>Sortie</t>
  </si>
  <si>
    <t>Type</t>
  </si>
  <si>
    <t>Blanc</t>
  </si>
  <si>
    <t>Gris 7016</t>
  </si>
  <si>
    <t>Chêne doré</t>
  </si>
  <si>
    <t>Noir</t>
  </si>
  <si>
    <t>Autre</t>
  </si>
  <si>
    <t>Droite</t>
  </si>
  <si>
    <t>Gauche</t>
  </si>
  <si>
    <t>Filaire</t>
  </si>
  <si>
    <t>Radio</t>
  </si>
  <si>
    <t>Manuel</t>
  </si>
  <si>
    <t>Solaire</t>
  </si>
  <si>
    <t>Nombre Lame</t>
  </si>
  <si>
    <t xml:space="preserve">Largeur Lame </t>
  </si>
  <si>
    <t>Ref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</si>
</sst>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15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1E343-A272-4939-AD2A-7B3DC56A9E34}" name="Tableau1" displayName="Tableau1" ref="A1:J11" totalsRowShown="0" headerRowDxfId="14" dataDxfId="12" headerRowBorderDxfId="13" tableBorderDxfId="11" totalsRowBorderDxfId="10">
  <autoFilter ref="A1:J11" xr:uid="{DD71E343-A272-4939-AD2A-7B3DC56A9E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E49665F-EB47-4255-B040-336017441CC8}" name="Hauteur" dataDxfId="9"/>
    <tableColumn id="2" xr3:uid="{E548A0B5-C401-4FBD-A264-778FB729C957}" name="Largeur" dataDxfId="8"/>
    <tableColumn id="3" xr3:uid="{47D87DEC-0881-4E9F-8F24-64D5AC0D4D4B}" name="Largeur coffre" dataDxfId="7">
      <calculatedColumnFormula>IF(ISBLANK(Tableau1[[#This Row],[Largeur]]),"",Tableau1[[#This Row],[Largeur]]-10)</calculatedColumnFormula>
    </tableColumn>
    <tableColumn id="4" xr3:uid="{08141DF9-A50F-4A02-A957-4D61327A5A98}" name="Axe" dataDxfId="6">
      <calculatedColumnFormula>IF(ISBLANK(Tableau1[[#This Row],[Largeur]]),"",Tableau1[[#This Row],[Largeur]]-85)</calculatedColumnFormula>
    </tableColumn>
    <tableColumn id="5" xr3:uid="{20F46935-14A7-49E9-87C4-6CFC4E5481E2}" name="Largeur Lame " dataDxfId="5">
      <calculatedColumnFormula>IF(ISBLANK(Tableau1[[#This Row],[Largeur]]),"",Tableau1[[#This Row],[Largeur]]-65)</calculatedColumnFormula>
    </tableColumn>
    <tableColumn id="6" xr3:uid="{8714663E-A937-4642-8E88-F69130479773}" name="Nombre Lame" dataDxfId="4">
      <calculatedColumnFormula>IF(ISBLANK(Tableau1[[#This Row],[Hauteur]]),"",CEILING(Tableau1[[#This Row],[Hauteur]]/43,1))</calculatedColumnFormula>
    </tableColumn>
    <tableColumn id="7" xr3:uid="{1FB2CFC0-654C-4DF8-B566-C0E2976040A5}" name="Couleur" dataDxfId="3"/>
    <tableColumn id="8" xr3:uid="{F15D1BAC-42B1-4C18-A82B-E3B97AE05393}" name="Sortie" dataDxfId="2"/>
    <tableColumn id="9" xr3:uid="{29C4130D-C820-46F8-B72E-BBABB9F869B1}" name="Type" dataDxfId="1"/>
    <tableColumn id="10" xr3:uid="{CDCA0EE4-1AB9-44BF-8688-786D723C74B9}" name="Ref clie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92E4-605F-4430-82D4-60F75C0F4899}">
  <dimension ref="A1:S11"/>
  <sheetViews>
    <sheetView tabSelected="1" zoomScale="145" zoomScaleNormal="145" workbookViewId="0">
      <selection activeCell="A2" sqref="A2"/>
    </sheetView>
  </sheetViews>
  <sheetFormatPr baseColWidth="10" defaultRowHeight="15" x14ac:dyDescent="0.25"/>
  <cols>
    <col min="1" max="10" width="13.42578125" style="1" customWidth="1"/>
    <col min="11" max="11" width="3.28515625" customWidth="1"/>
    <col min="17" max="19" width="11.42578125" style="10"/>
  </cols>
  <sheetData>
    <row r="1" spans="1:19" ht="22.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19</v>
      </c>
      <c r="F1" s="8" t="s">
        <v>18</v>
      </c>
      <c r="G1" s="8" t="s">
        <v>4</v>
      </c>
      <c r="H1" s="8" t="s">
        <v>5</v>
      </c>
      <c r="I1" s="9" t="s">
        <v>6</v>
      </c>
      <c r="J1" s="9" t="s">
        <v>20</v>
      </c>
      <c r="Q1" s="4" t="s">
        <v>4</v>
      </c>
      <c r="R1" s="4" t="s">
        <v>5</v>
      </c>
      <c r="S1" s="4" t="s">
        <v>6</v>
      </c>
    </row>
    <row r="2" spans="1:19" ht="43.5" customHeight="1" x14ac:dyDescent="0.25">
      <c r="A2" s="6"/>
      <c r="B2" s="6"/>
      <c r="C2" s="2" t="str">
        <f>IF(ISBLANK(Tableau1[[#This Row],[Largeur]]),"",Tableau1[[#This Row],[Largeur]]-10)</f>
        <v/>
      </c>
      <c r="D2" s="2" t="str">
        <f>IF(ISBLANK(Tableau1[[#This Row],[Largeur]]),"",Tableau1[[#This Row],[Largeur]]-85)</f>
        <v/>
      </c>
      <c r="E2" s="2" t="str">
        <f>IF(ISBLANK(Tableau1[[#This Row],[Largeur]]),"",Tableau1[[#This Row],[Largeur]]-65)</f>
        <v/>
      </c>
      <c r="F2" s="2" t="str">
        <f>IF(ISBLANK(Tableau1[[#This Row],[Hauteur]]),"",CEILING(Tableau1[[#This Row],[Hauteur]]/43,1))</f>
        <v/>
      </c>
      <c r="G2" s="6"/>
      <c r="H2" s="6"/>
      <c r="I2" s="6"/>
      <c r="J2" s="6"/>
      <c r="Q2" s="5" t="s">
        <v>7</v>
      </c>
      <c r="R2" s="4" t="s">
        <v>12</v>
      </c>
      <c r="S2" s="4" t="s">
        <v>14</v>
      </c>
    </row>
    <row r="3" spans="1:19" ht="43.5" customHeight="1" x14ac:dyDescent="0.25">
      <c r="A3" s="6"/>
      <c r="B3" s="6"/>
      <c r="C3" s="2" t="str">
        <f>IF(ISBLANK(Tableau1[[#This Row],[Largeur]]),"",Tableau1[[#This Row],[Largeur]]-10)</f>
        <v/>
      </c>
      <c r="D3" s="2" t="str">
        <f>IF(ISBLANK(Tableau1[[#This Row],[Largeur]]),"",Tableau1[[#This Row],[Largeur]]-85)</f>
        <v/>
      </c>
      <c r="E3" s="2" t="str">
        <f>IF(ISBLANK(Tableau1[[#This Row],[Largeur]]),"",Tableau1[[#This Row],[Largeur]]-65)</f>
        <v/>
      </c>
      <c r="F3" s="2" t="str">
        <f>IF(ISBLANK(Tableau1[[#This Row],[Hauteur]]),"",CEILING(Tableau1[[#This Row],[Hauteur]]/43,1))</f>
        <v/>
      </c>
      <c r="G3" s="6"/>
      <c r="H3" s="6"/>
      <c r="I3" s="6"/>
      <c r="J3" s="6"/>
      <c r="Q3" s="5" t="s">
        <v>8</v>
      </c>
      <c r="R3" s="4" t="s">
        <v>13</v>
      </c>
      <c r="S3" s="4" t="s">
        <v>15</v>
      </c>
    </row>
    <row r="4" spans="1:19" ht="43.5" customHeight="1" x14ac:dyDescent="0.25">
      <c r="A4" s="6"/>
      <c r="B4" s="6"/>
      <c r="C4" s="2" t="str">
        <f>IF(ISBLANK(Tableau1[[#This Row],[Largeur]]),"",Tableau1[[#This Row],[Largeur]]-10)</f>
        <v/>
      </c>
      <c r="D4" s="2" t="str">
        <f>IF(ISBLANK(Tableau1[[#This Row],[Largeur]]),"",Tableau1[[#This Row],[Largeur]]-85)</f>
        <v/>
      </c>
      <c r="E4" s="2" t="str">
        <f>IF(ISBLANK(Tableau1[[#This Row],[Largeur]]),"",Tableau1[[#This Row],[Largeur]]-65)</f>
        <v/>
      </c>
      <c r="F4" s="2" t="str">
        <f>IF(ISBLANK(Tableau1[[#This Row],[Hauteur]]),"",CEILING(Tableau1[[#This Row],[Hauteur]]/43,1))</f>
        <v/>
      </c>
      <c r="G4" s="6"/>
      <c r="H4" s="6"/>
      <c r="I4" s="6"/>
      <c r="J4" s="6"/>
      <c r="Q4" s="5" t="s">
        <v>9</v>
      </c>
      <c r="R4" s="4"/>
      <c r="S4" s="4" t="s">
        <v>16</v>
      </c>
    </row>
    <row r="5" spans="1:19" ht="43.5" customHeight="1" x14ac:dyDescent="0.25">
      <c r="A5" s="6"/>
      <c r="B5" s="6"/>
      <c r="C5" s="2" t="str">
        <f>IF(ISBLANK(Tableau1[[#This Row],[Largeur]]),"",Tableau1[[#This Row],[Largeur]]-10)</f>
        <v/>
      </c>
      <c r="D5" s="2" t="str">
        <f>IF(ISBLANK(Tableau1[[#This Row],[Largeur]]),"",Tableau1[[#This Row],[Largeur]]-85)</f>
        <v/>
      </c>
      <c r="E5" s="2" t="str">
        <f>IF(ISBLANK(Tableau1[[#This Row],[Largeur]]),"",Tableau1[[#This Row],[Largeur]]-65)</f>
        <v/>
      </c>
      <c r="F5" s="2" t="str">
        <f>IF(ISBLANK(Tableau1[[#This Row],[Hauteur]]),"",CEILING(Tableau1[[#This Row],[Hauteur]]/43,1))</f>
        <v/>
      </c>
      <c r="G5" s="6"/>
      <c r="H5" s="6"/>
      <c r="I5" s="6"/>
      <c r="J5" s="6"/>
      <c r="Q5" s="5" t="s">
        <v>10</v>
      </c>
      <c r="R5" s="4"/>
      <c r="S5" s="4" t="s">
        <v>17</v>
      </c>
    </row>
    <row r="6" spans="1:19" ht="43.5" customHeight="1" x14ac:dyDescent="0.25">
      <c r="A6" s="6"/>
      <c r="B6" s="6"/>
      <c r="C6" s="2" t="str">
        <f>IF(ISBLANK(Tableau1[[#This Row],[Largeur]]),"",Tableau1[[#This Row],[Largeur]]-10)</f>
        <v/>
      </c>
      <c r="D6" s="2" t="str">
        <f>IF(ISBLANK(Tableau1[[#This Row],[Largeur]]),"",Tableau1[[#This Row],[Largeur]]-85)</f>
        <v/>
      </c>
      <c r="E6" s="2" t="str">
        <f>IF(ISBLANK(Tableau1[[#This Row],[Largeur]]),"",Tableau1[[#This Row],[Largeur]]-65)</f>
        <v/>
      </c>
      <c r="F6" s="2" t="str">
        <f>IF(ISBLANK(Tableau1[[#This Row],[Hauteur]]),"",CEILING(Tableau1[[#This Row],[Hauteur]]/43,1))</f>
        <v/>
      </c>
      <c r="G6" s="6"/>
      <c r="H6" s="6"/>
      <c r="I6" s="6"/>
      <c r="J6" s="6"/>
      <c r="Q6" s="5" t="s">
        <v>11</v>
      </c>
      <c r="R6" s="4"/>
      <c r="S6" s="4"/>
    </row>
    <row r="7" spans="1:19" ht="43.5" customHeight="1" x14ac:dyDescent="0.25">
      <c r="A7" s="6"/>
      <c r="B7" s="6"/>
      <c r="C7" s="2" t="str">
        <f>IF(ISBLANK(Tableau1[[#This Row],[Largeur]]),"",Tableau1[[#This Row],[Largeur]]-10)</f>
        <v/>
      </c>
      <c r="D7" s="2" t="str">
        <f>IF(ISBLANK(Tableau1[[#This Row],[Largeur]]),"",Tableau1[[#This Row],[Largeur]]-85)</f>
        <v/>
      </c>
      <c r="E7" s="2" t="str">
        <f>IF(ISBLANK(Tableau1[[#This Row],[Largeur]]),"",Tableau1[[#This Row],[Largeur]]-65)</f>
        <v/>
      </c>
      <c r="F7" s="2" t="str">
        <f>IF(ISBLANK(Tableau1[[#This Row],[Hauteur]]),"",CEILING(Tableau1[[#This Row],[Hauteur]]/43,1))</f>
        <v/>
      </c>
      <c r="G7" s="6"/>
      <c r="H7" s="6"/>
      <c r="I7" s="6"/>
      <c r="J7" s="6"/>
    </row>
    <row r="8" spans="1:19" ht="43.5" customHeight="1" x14ac:dyDescent="0.25">
      <c r="A8" s="6"/>
      <c r="B8" s="6"/>
      <c r="C8" s="2" t="str">
        <f>IF(ISBLANK(Tableau1[[#This Row],[Largeur]]),"",Tableau1[[#This Row],[Largeur]]-10)</f>
        <v/>
      </c>
      <c r="D8" s="2" t="str">
        <f>IF(ISBLANK(Tableau1[[#This Row],[Largeur]]),"",Tableau1[[#This Row],[Largeur]]-85)</f>
        <v/>
      </c>
      <c r="E8" s="2" t="str">
        <f>IF(ISBLANK(Tableau1[[#This Row],[Largeur]]),"",Tableau1[[#This Row],[Largeur]]-65)</f>
        <v/>
      </c>
      <c r="F8" s="2" t="str">
        <f>IF(ISBLANK(Tableau1[[#This Row],[Hauteur]]),"",CEILING(Tableau1[[#This Row],[Hauteur]]/43,1))</f>
        <v/>
      </c>
      <c r="G8" s="6"/>
      <c r="H8" s="6"/>
      <c r="I8" s="6"/>
      <c r="J8" s="6"/>
    </row>
    <row r="9" spans="1:19" ht="43.5" customHeight="1" x14ac:dyDescent="0.25">
      <c r="A9" s="7"/>
      <c r="B9" s="7"/>
      <c r="C9" s="3" t="str">
        <f>IF(ISBLANK(Tableau1[[#This Row],[Largeur]]),"",Tableau1[[#This Row],[Largeur]]-10)</f>
        <v/>
      </c>
      <c r="D9" s="3" t="str">
        <f>IF(ISBLANK(Tableau1[[#This Row],[Largeur]]),"",Tableau1[[#This Row],[Largeur]]-85)</f>
        <v/>
      </c>
      <c r="E9" s="3" t="str">
        <f>IF(ISBLANK(Tableau1[[#This Row],[Largeur]]),"",Tableau1[[#This Row],[Largeur]]-65)</f>
        <v/>
      </c>
      <c r="F9" s="3" t="str">
        <f>IF(ISBLANK(Tableau1[[#This Row],[Hauteur]]),"",CEILING(Tableau1[[#This Row],[Hauteur]]/43,1))</f>
        <v/>
      </c>
      <c r="G9" s="6"/>
      <c r="H9" s="6"/>
      <c r="I9" s="6"/>
      <c r="J9" s="6"/>
    </row>
    <row r="10" spans="1:19" ht="43.5" customHeight="1" x14ac:dyDescent="0.25">
      <c r="A10" s="7"/>
      <c r="B10" s="7"/>
      <c r="C10" s="3" t="str">
        <f>IF(ISBLANK(Tableau1[[#This Row],[Largeur]]),"",Tableau1[[#This Row],[Largeur]]-10)</f>
        <v/>
      </c>
      <c r="D10" s="3" t="str">
        <f>IF(ISBLANK(Tableau1[[#This Row],[Largeur]]),"",Tableau1[[#This Row],[Largeur]]-85)</f>
        <v/>
      </c>
      <c r="E10" s="3" t="str">
        <f>IF(ISBLANK(Tableau1[[#This Row],[Largeur]]),"",Tableau1[[#This Row],[Largeur]]-65)</f>
        <v/>
      </c>
      <c r="F10" s="3" t="str">
        <f>IF(ISBLANK(Tableau1[[#This Row],[Hauteur]]),"",CEILING(Tableau1[[#This Row],[Hauteur]]/43,1))</f>
        <v/>
      </c>
      <c r="G10" s="6"/>
      <c r="H10" s="6"/>
      <c r="I10" s="6"/>
      <c r="J10" s="6"/>
    </row>
    <row r="11" spans="1:19" ht="43.5" customHeight="1" x14ac:dyDescent="0.25">
      <c r="A11" s="7"/>
      <c r="B11" s="7"/>
      <c r="C11" s="3" t="str">
        <f>IF(ISBLANK(Tableau1[[#This Row],[Largeur]]),"",Tableau1[[#This Row],[Largeur]]-10)</f>
        <v/>
      </c>
      <c r="D11" s="3" t="str">
        <f>IF(ISBLANK(Tableau1[[#This Row],[Largeur]]),"",Tableau1[[#This Row],[Largeur]]-85)</f>
        <v/>
      </c>
      <c r="E11" s="3" t="str">
        <f>IF(ISBLANK(Tableau1[[#This Row],[Largeur]]),"",Tableau1[[#This Row],[Largeur]]-65)</f>
        <v/>
      </c>
      <c r="F11" s="3" t="str">
        <f>IF(ISBLANK(Tableau1[[#This Row],[Hauteur]]),"",CEILING(Tableau1[[#This Row],[Hauteur]]/43,1))</f>
        <v/>
      </c>
      <c r="G11" s="6"/>
      <c r="H11" s="6"/>
      <c r="I11" s="6"/>
      <c r="J11" s="6"/>
    </row>
  </sheetData>
  <sheetProtection algorithmName="SHA-512" hashValue="sHZNkpAelrH953IWnV1S5hkGshZFc6fGRAq0cZccW5/QR7oCs4C64HCoE814jOLZ2tI67lZNbUNYxMQulRYAGA==" saltValue="iWI+tXBJ79zwFrp2dO4zNA==" spinCount="100000" sheet="1" objects="1" scenarios="1"/>
  <dataValidations count="3">
    <dataValidation type="list" allowBlank="1" showInputMessage="1" showErrorMessage="1" sqref="G2:G1048576" xr:uid="{282F7D40-D1DE-4C1F-A31E-A80F8AFC84A3}">
      <formula1>$Q$2:$Q$6</formula1>
    </dataValidation>
    <dataValidation type="list" allowBlank="1" showInputMessage="1" showErrorMessage="1" sqref="H2:H11" xr:uid="{51D4AC0A-292F-44FC-9CE5-1F43FD285FC3}">
      <formula1>$R$2:$R$3</formula1>
    </dataValidation>
    <dataValidation type="list" allowBlank="1" showInputMessage="1" showErrorMessage="1" sqref="I2:I1048576" xr:uid="{2B0407B4-71B7-430F-A307-C6D7A45A1857}">
      <formula1>$S$2:$S$5</formula1>
    </dataValidation>
  </dataValidations>
  <pageMargins left="0.25" right="0.25" top="0.75" bottom="0.75" header="0.3" footer="0.3"/>
  <pageSetup paperSize="9" fitToWidth="0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SARANGE PRO</dc:creator>
  <cp:lastModifiedBy>SARANGE PRO</cp:lastModifiedBy>
  <cp:lastPrinted>2026-02-18T08:12:03Z</cp:lastPrinted>
  <dcterms:created xsi:type="dcterms:W3CDTF">2025-01-08T14:22:49Z</dcterms:created>
  <dcterms:modified xsi:type="dcterms:W3CDTF">2026-02-26T12:43:56Z</dcterms:modified>
</cp:coreProperties>
</file>